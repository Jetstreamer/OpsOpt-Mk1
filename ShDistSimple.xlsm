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<sst xmlns="http://schemas.openxmlformats.org/spreadsheetml/2006/main" count="16" uniqueCount="11">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</sst>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150</v>
      </c>
      <c r="D2" s="1">
        <v>0</v>
      </c>
      <c r="E2">
        <v>150</v>
      </c>
      <c r="F2" s="2">
        <f>SUMPRODUCT(C2:C61,D2:D61)</f>
        <v>0</v>
      </c>
      <c r="G2" s="3">
        <f t="shared" ref="G2:G13" si="0">C2/80</f>
        <v>1.875</v>
      </c>
      <c r="I2">
        <v>1</v>
      </c>
      <c r="J2">
        <f>SUMIF($A$2:$A$61,I2,$D$2:$D$61)-SUMIF($B$2:$B$61,I2,$D$2:$D$61)</f>
        <v>0</v>
      </c>
      <c r="K2" t="s">
        <v>8</v>
      </c>
      <c r="L2">
        <v>1</v>
      </c>
    </row>
    <row r="3" spans="1:12" ht="15" x14ac:dyDescent="0.25">
      <c r="A3">
        <v>2</v>
      </c>
      <c r="B3">
        <v>3</v>
      </c>
      <c r="C3">
        <v>250</v>
      </c>
      <c r="D3" s="1">
        <v>0</v>
      </c>
      <c r="E3">
        <v>250</v>
      </c>
      <c r="G3" s="3">
        <f t="shared" si="0"/>
        <v>3.125</v>
      </c>
      <c r="I3">
        <v>2</v>
      </c>
      <c r="J3">
        <f t="shared" ref="J3:J7" si="1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3</v>
      </c>
      <c r="B4">
        <v>4</v>
      </c>
      <c r="C4">
        <v>450</v>
      </c>
      <c r="D4" s="1">
        <v>0</v>
      </c>
      <c r="E4">
        <v>450</v>
      </c>
      <c r="G4" s="3">
        <f t="shared" si="0"/>
        <v>5.625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250</v>
      </c>
      <c r="D5" s="1">
        <v>0</v>
      </c>
      <c r="E5">
        <v>250</v>
      </c>
      <c r="G5" s="3">
        <f t="shared" si="0"/>
        <v>3.125</v>
      </c>
      <c r="I5">
        <v>4</v>
      </c>
      <c r="J5">
        <f t="shared" si="1"/>
        <v>0</v>
      </c>
      <c r="K5" t="s">
        <v>8</v>
      </c>
      <c r="L5">
        <v>0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0</v>
      </c>
      <c r="K6" t="s">
        <v>8</v>
      </c>
      <c r="L6">
        <v>0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750</v>
      </c>
      <c r="D8" s="1">
        <v>0</v>
      </c>
      <c r="E8">
        <v>750</v>
      </c>
      <c r="G8" s="3">
        <f t="shared" si="0"/>
        <v>9.375</v>
      </c>
      <c r="L8">
        <v>0</v>
      </c>
    </row>
    <row r="9" spans="1:12" ht="15" x14ac:dyDescent="0.25">
      <c r="A9">
        <v>2</v>
      </c>
      <c r="B9">
        <v>1</v>
      </c>
      <c r="C9">
        <v>150</v>
      </c>
      <c r="D9" s="1">
        <v>0</v>
      </c>
      <c r="E9">
        <v>150</v>
      </c>
      <c r="G9" s="3">
        <f t="shared" si="0"/>
        <v>1.875</v>
      </c>
      <c r="L9">
        <v>0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>
        <v>0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>
        <v>0</v>
      </c>
    </row>
    <row r="12" spans="1:12" ht="15" x14ac:dyDescent="0.25">
      <c r="A12">
        <v>5</v>
      </c>
      <c r="B12">
        <v>4</v>
      </c>
      <c r="C12">
        <v>250</v>
      </c>
      <c r="D12" s="1">
        <v>0</v>
      </c>
      <c r="E12">
        <v>250</v>
      </c>
      <c r="G12" s="3">
        <f t="shared" si="0"/>
        <v>3.125</v>
      </c>
      <c r="L12">
        <v>0</v>
      </c>
    </row>
    <row r="13" spans="1:12" ht="15" x14ac:dyDescent="0.25">
      <c r="A13">
        <v>6</v>
      </c>
      <c r="B13">
        <v>5</v>
      </c>
      <c r="C13">
        <v>650</v>
      </c>
      <c r="D13" s="1">
        <v>0</v>
      </c>
      <c r="E13">
        <v>650</v>
      </c>
      <c r="G13" s="3">
        <f t="shared" si="0"/>
        <v>8.125</v>
      </c>
      <c r="L13">
        <v>0</v>
      </c>
    </row>
    <row r="14" spans="1:12" ht="15" x14ac:dyDescent="0.25">
      <c r="D14" s="1">
        <v>0</v>
      </c>
      <c r="G14" s="3"/>
      <c r="L14">
        <v>0</v>
      </c>
    </row>
    <row r="15" spans="1:12" ht="15" x14ac:dyDescent="0.25">
      <c r="D15" s="1">
        <v>0</v>
      </c>
      <c r="G15" s="3"/>
      <c r="L15">
        <v>0</v>
      </c>
    </row>
    <row r="16" spans="1:12" ht="15" x14ac:dyDescent="0.25">
      <c r="D16" s="1">
        <v>0</v>
      </c>
      <c r="G16" s="3"/>
      <c r="L16">
        <v>0</v>
      </c>
    </row>
    <row r="17" spans="4:12" ht="15" x14ac:dyDescent="0.25">
      <c r="D17" s="1">
        <v>0</v>
      </c>
      <c r="G17" s="3"/>
      <c r="L17">
        <v>0</v>
      </c>
    </row>
    <row r="18" spans="4:12" ht="15" x14ac:dyDescent="0.25">
      <c r="D18" s="1">
        <v>0</v>
      </c>
      <c r="G18" s="3"/>
      <c r="L18">
        <v>0</v>
      </c>
    </row>
    <row r="19" spans="4:12" ht="15" x14ac:dyDescent="0.25">
      <c r="D19" s="1">
        <v>0</v>
      </c>
      <c r="G19" s="3"/>
      <c r="L19">
        <v>0</v>
      </c>
    </row>
    <row r="20" spans="4:12" ht="15" x14ac:dyDescent="0.25">
      <c r="D20" s="1">
        <v>0</v>
      </c>
      <c r="G20" s="3"/>
      <c r="L20">
        <v>0</v>
      </c>
    </row>
    <row r="21" spans="4:12" ht="15" x14ac:dyDescent="0.25">
      <c r="D21" s="1">
        <v>0</v>
      </c>
      <c r="G21" s="3"/>
      <c r="L21">
        <v>0</v>
      </c>
    </row>
    <row r="22" spans="4:12" ht="15" x14ac:dyDescent="0.25">
      <c r="D22" s="1">
        <v>0</v>
      </c>
      <c r="G22" s="3"/>
      <c r="L22">
        <v>0</v>
      </c>
    </row>
    <row r="23" spans="4:12" ht="15" x14ac:dyDescent="0.25">
      <c r="D23" s="1">
        <v>0</v>
      </c>
      <c r="G23" s="3"/>
      <c r="L23">
        <v>0</v>
      </c>
    </row>
    <row r="24" spans="4:12" ht="15" x14ac:dyDescent="0.25">
      <c r="D24" s="1">
        <v>0</v>
      </c>
      <c r="G24" s="3"/>
      <c r="L24">
        <v>0</v>
      </c>
    </row>
    <row r="25" spans="4:12" ht="15" x14ac:dyDescent="0.25">
      <c r="D25" s="1">
        <v>0</v>
      </c>
      <c r="G25" s="3"/>
      <c r="L25">
        <v>0</v>
      </c>
    </row>
    <row r="26" spans="4:12" ht="15" x14ac:dyDescent="0.25">
      <c r="D26" s="1">
        <v>0</v>
      </c>
      <c r="G26" s="3"/>
      <c r="L26">
        <v>0</v>
      </c>
    </row>
    <row r="27" spans="4:12" ht="15" x14ac:dyDescent="0.25">
      <c r="D27" s="1">
        <v>0</v>
      </c>
      <c r="G27" s="3"/>
      <c r="L27">
        <v>0</v>
      </c>
    </row>
    <row r="28" spans="4:12" ht="15" x14ac:dyDescent="0.25">
      <c r="D28" s="1">
        <v>0</v>
      </c>
      <c r="G28" s="3"/>
      <c r="L28">
        <v>0</v>
      </c>
    </row>
    <row r="29" spans="4:12" ht="15" x14ac:dyDescent="0.25">
      <c r="D29" s="1">
        <v>0</v>
      </c>
      <c r="G29" s="3"/>
      <c r="L29">
        <v>0</v>
      </c>
    </row>
    <row r="30" spans="4:12" ht="15" x14ac:dyDescent="0.25">
      <c r="D30" s="1">
        <v>0</v>
      </c>
      <c r="G30" s="3"/>
      <c r="L30">
        <v>0</v>
      </c>
    </row>
    <row r="31" spans="4:12" ht="15" x14ac:dyDescent="0.25">
      <c r="D31" s="1">
        <v>0</v>
      </c>
      <c r="G31" s="3"/>
      <c r="L31">
        <v>0</v>
      </c>
    </row>
    <row r="32" spans="4:12" x14ac:dyDescent="0.3">
      <c r="D32" s="1">
        <v>0</v>
      </c>
      <c r="G32" s="3"/>
      <c r="L32">
        <v>0</v>
      </c>
    </row>
    <row r="33" spans="4:12" x14ac:dyDescent="0.3">
      <c r="D33" s="1">
        <v>0</v>
      </c>
      <c r="G33" s="3"/>
      <c r="L33">
        <v>0</v>
      </c>
    </row>
    <row r="34" spans="4:12" x14ac:dyDescent="0.3">
      <c r="D34" s="1">
        <v>0</v>
      </c>
      <c r="G34" s="3"/>
      <c r="L34">
        <v>0</v>
      </c>
    </row>
    <row r="35" spans="4:12" x14ac:dyDescent="0.3">
      <c r="D35" s="1">
        <v>0</v>
      </c>
      <c r="G35" s="3"/>
      <c r="L35">
        <v>0</v>
      </c>
    </row>
    <row r="36" spans="4:12" x14ac:dyDescent="0.3">
      <c r="D36" s="1">
        <v>0</v>
      </c>
      <c r="G36" s="3"/>
      <c r="L36">
        <v>0</v>
      </c>
    </row>
    <row r="37" spans="4:12" x14ac:dyDescent="0.3">
      <c r="D37" s="1">
        <v>0</v>
      </c>
      <c r="G37" s="3"/>
      <c r="L37">
        <v>0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2017-12-18T15:25:49Z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