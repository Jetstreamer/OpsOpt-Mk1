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<sst xmlns="http://schemas.openxmlformats.org/spreadsheetml/2006/main" count="16" uniqueCount="11">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</sst>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150</v>
      </c>
      <c r="D2" s="1">
        <v>0</v>
      </c>
      <c r="E2">
        <v>150</v>
      </c>
      <c r="F2" s="2">
        <f>SUMPRODUCT(C2:C61,D2:D61)</f>
        <v>1700</v>
      </c>
      <c r="G2" s="3">
        <f t="shared" ref="G2:G13" si="0">C2/80</f>
        <v>1.875</v>
      </c>
      <c r="I2">
        <v>1</v>
      </c>
      <c r="J2">
        <f>SUMIF($A$2:$A$61,I2,$D$2:$D$61)-SUMIF($B$2:$B$61,I2,$D$2:$D$61)</f>
        <v>-1</v>
      </c>
      <c r="K2" t="s">
        <v>8</v>
      </c>
      <c r="L2">
        <v>-1</v>
      </c>
    </row>
    <row r="3" spans="1:12" ht="15" x14ac:dyDescent="0.25">
      <c r="A3">
        <v>2</v>
      </c>
      <c r="B3">
        <v>3</v>
      </c>
      <c r="C3">
        <v>250</v>
      </c>
      <c r="D3" s="1">
        <v>0</v>
      </c>
      <c r="E3">
        <v>250</v>
      </c>
      <c r="G3" s="3">
        <f t="shared" si="0"/>
        <v>3.125</v>
      </c>
      <c r="I3">
        <v>2</v>
      </c>
      <c r="J3">
        <f t="shared" ref="J3:J7" si="1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3</v>
      </c>
      <c r="B4">
        <v>4</v>
      </c>
      <c r="C4">
        <v>450</v>
      </c>
      <c r="D4" s="1">
        <v>0</v>
      </c>
      <c r="E4">
        <v>450</v>
      </c>
      <c r="G4" s="3">
        <f t="shared" si="0"/>
        <v>5.625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500</v>
      </c>
      <c r="D5" s="1">
        <v>0</v>
      </c>
      <c r="E5">
        <v>250</v>
      </c>
      <c r="G5" s="3">
        <f t="shared" si="0"/>
        <v>6.25</v>
      </c>
      <c r="I5">
        <v>4</v>
      </c>
      <c r="J5">
        <f t="shared" si="1"/>
        <v>1</v>
      </c>
      <c r="K5" t="s">
        <v>8</v>
      </c>
      <c r="L5">
        <v>1</v>
      </c>
    </row>
    <row r="6" spans="1:12" ht="15" x14ac:dyDescent="0.25">
      <c r="A6">
        <v>5</v>
      </c>
      <c r="B6">
        <v>6</v>
      </c>
      <c r="C6">
        <v>1300</v>
      </c>
      <c r="D6" s="1">
        <v>0</v>
      </c>
      <c r="E6">
        <v>650</v>
      </c>
      <c r="G6" s="3">
        <f t="shared" si="0"/>
        <v>16.25</v>
      </c>
      <c r="I6">
        <v>5</v>
      </c>
      <c r="J6">
        <f t="shared" si="1"/>
        <v>0</v>
      </c>
      <c r="K6" t="s">
        <v>8</v>
      </c>
      <c r="L6">
        <v>0</v>
      </c>
    </row>
    <row r="7" spans="1:12" ht="15" x14ac:dyDescent="0.25">
      <c r="A7">
        <v>6</v>
      </c>
      <c r="B7">
        <v>1</v>
      </c>
      <c r="C7">
        <v>1500</v>
      </c>
      <c r="D7" s="1">
        <v>0</v>
      </c>
      <c r="E7">
        <v>750</v>
      </c>
      <c r="G7" s="3">
        <f t="shared" si="0"/>
        <v>18.75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750</v>
      </c>
      <c r="D8" s="1">
        <v>0</v>
      </c>
      <c r="E8">
        <v>750</v>
      </c>
      <c r="G8" s="3">
        <f t="shared" si="0"/>
        <v>9.375</v>
      </c>
      <c r="L8" t="e">
        <v>#N/A</v>
      </c>
    </row>
    <row r="9" spans="1:12" ht="15" x14ac:dyDescent="0.25">
      <c r="A9">
        <v>2</v>
      </c>
      <c r="B9">
        <v>1</v>
      </c>
      <c r="C9">
        <v>300</v>
      </c>
      <c r="D9" s="1">
        <v>1</v>
      </c>
      <c r="E9">
        <v>150</v>
      </c>
      <c r="G9" s="3">
        <f t="shared" si="0"/>
        <v>3.75</v>
      </c>
      <c r="L9" t="e">
        <v>#N/A</v>
      </c>
    </row>
    <row r="10" spans="1:12" ht="15" x14ac:dyDescent="0.25">
      <c r="A10">
        <v>3</v>
      </c>
      <c r="B10">
        <v>2</v>
      </c>
      <c r="C10">
        <v>500</v>
      </c>
      <c r="D10" s="1">
        <v>1</v>
      </c>
      <c r="E10">
        <v>250</v>
      </c>
      <c r="G10" s="3">
        <f t="shared" si="0"/>
        <v>6.25</v>
      </c>
      <c r="L10" t="e">
        <v>#N/A</v>
      </c>
    </row>
    <row r="11" spans="1:12" ht="15" x14ac:dyDescent="0.25">
      <c r="A11">
        <v>4</v>
      </c>
      <c r="B11">
        <v>3</v>
      </c>
      <c r="C11">
        <v>900</v>
      </c>
      <c r="D11" s="1">
        <v>1</v>
      </c>
      <c r="E11">
        <v>450</v>
      </c>
      <c r="G11" s="3">
        <f t="shared" si="0"/>
        <v>11.25</v>
      </c>
      <c r="L11" t="e">
        <v>#N/A</v>
      </c>
    </row>
    <row r="12" spans="1:12" ht="15" x14ac:dyDescent="0.25">
      <c r="A12">
        <v>5</v>
      </c>
      <c r="B12">
        <v>4</v>
      </c>
      <c r="C12">
        <v>250</v>
      </c>
      <c r="D12" s="1">
        <v>0</v>
      </c>
      <c r="E12">
        <v>250</v>
      </c>
      <c r="G12" s="3">
        <f t="shared" si="0"/>
        <v>3.125</v>
      </c>
      <c r="L12" t="e">
        <v>#N/A</v>
      </c>
    </row>
    <row r="13" spans="1:12" ht="15" x14ac:dyDescent="0.25">
      <c r="A13">
        <v>6</v>
      </c>
      <c r="B13">
        <v>5</v>
      </c>
      <c r="C13">
        <v>650</v>
      </c>
      <c r="D13" s="1">
        <v>0</v>
      </c>
      <c r="E13">
        <v>650</v>
      </c>
      <c r="G13" s="3">
        <f t="shared" si="0"/>
        <v>8.125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2018-01-11T19:00:18Z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