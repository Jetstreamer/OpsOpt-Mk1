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 defaultThemeVersion="124226"/>
  <bookViews>
    <workbookView xWindow="0" yWindow="0" windowWidth="23256" windowHeight="13176"/>
  </bookViews>
  <sheets>
    <sheet name="Airport data" sheetId="1" r:id="rId1"/>
  </sheets>
  <definedNames>
    <definedName name="solver_adj" localSheetId="0" hidden="1">'Airport data'!$D$2:$D$61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'Airport data'!$J$2:$J$7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'Airport data'!$F$2</definedName>
    <definedName name="solver_pre" localSheetId="0" hidden="1">0.000001</definedName>
    <definedName name="solver_rbv" localSheetId="0" hidden="1">2</definedName>
    <definedName name="solver_rel1" localSheetId="0" hidden="1">2</definedName>
    <definedName name="solver_rhs1" localSheetId="0" hidden="1">'Airport data'!$L$2:$L$7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44525"/>
</workbook>
</file>

<file path=xl/calcChain.xml><?xml version="1.0" encoding="utf-8"?>
<calcChain xmlns="http://schemas.openxmlformats.org/spreadsheetml/2006/main">
  <c r="G13" i="1" l="1"/>
  <c r="G12" i="1"/>
  <c r="G11" i="1"/>
  <c r="G10" i="1"/>
  <c r="G9" i="1"/>
  <c r="G8" i="1"/>
  <c r="G7" i="1"/>
  <c r="G3" i="1" l="1"/>
  <c r="G4" i="1"/>
  <c r="G5" i="1"/>
  <c r="G6" i="1"/>
  <c r="G2" i="1"/>
  <c r="F2" i="1" l="1"/>
  <c r="J3" i="1"/>
  <c r="J4" i="1"/>
  <c r="J5" i="1"/>
  <c r="J6" i="1"/>
  <c r="J7" i="1"/>
  <c r="J2" i="1"/>
</calcChain>
</file>

<file path=xl/sharedStrings.xml><?xml version="1.0" encoding="utf-8"?>
<sst xmlns="http://schemas.openxmlformats.org/spreadsheetml/2006/main" count="16" uniqueCount="11">
  <si>
    <t>From</t>
  </si>
  <si>
    <t>To</t>
  </si>
  <si>
    <t>Distance</t>
  </si>
  <si>
    <t>OnRoute</t>
  </si>
  <si>
    <t>Total Distance</t>
  </si>
  <si>
    <t>Nodes</t>
  </si>
  <si>
    <t>Net Flow</t>
  </si>
  <si>
    <t>Supply/Demand</t>
  </si>
  <si>
    <t>=</t>
  </si>
  <si>
    <t>Distance*</t>
  </si>
  <si>
    <t>Periods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</si>
</sst>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61"/>
  <sheetViews>
    <sheetView tabSelected="1" topLeftCell="A2" workbookViewId="0">
      <selection activeCell="C2" sqref="C2:C13"/>
    </sheetView>
  </sheetViews>
  <sheetFormatPr defaultRowHeight="14.4" x14ac:dyDescent="0.3"/>
  <cols>
    <col min="3" max="3" width="13.6640625" customWidth="1"/>
    <col min="5" max="5" width="11.33203125" customWidth="1"/>
    <col min="6" max="6" width="13.44140625" customWidth="1"/>
    <col min="8" max="8" width="22.88671875" customWidth="1"/>
    <col min="12" max="12" width="15.6640625" customWidth="1"/>
  </cols>
  <sheetData>
    <row r="1" spans="1:12" ht="15" x14ac:dyDescent="0.25">
      <c r="A1" t="s">
        <v>0</v>
      </c>
      <c r="B1" t="s">
        <v>1</v>
      </c>
      <c r="C1" t="s">
        <v>9</v>
      </c>
      <c r="D1" t="s">
        <v>3</v>
      </c>
      <c r="E1" t="s">
        <v>2</v>
      </c>
      <c r="F1" t="s">
        <v>4</v>
      </c>
      <c r="G1" t="s">
        <v>10</v>
      </c>
      <c r="I1" t="s">
        <v>5</v>
      </c>
      <c r="J1" t="s">
        <v>6</v>
      </c>
      <c r="L1" t="s">
        <v>7</v>
      </c>
    </row>
    <row r="2" spans="1:12" ht="15" x14ac:dyDescent="0.25">
      <c r="A2">
        <v>1</v>
      </c>
      <c r="B2">
        <v>2</v>
      </c>
      <c r="C2">
        <v>150</v>
      </c>
      <c r="D2" s="1">
        <v>0</v>
      </c>
      <c r="E2">
        <v>150</v>
      </c>
      <c r="F2" s="2">
        <f>SUMPRODUCT(C2:C61,D2:D61)</f>
        <v>1900</v>
      </c>
      <c r="G2" s="3">
        <f t="shared" ref="G2:G13" si="0">C2/80</f>
        <v>1.875</v>
      </c>
      <c r="I2">
        <v>1</v>
      </c>
      <c r="J2">
        <f>SUMIF($A$2:$A$61,I2,$D$2:$D$61)-SUMIF($B$2:$B$61,I2,$D$2:$D$61)</f>
        <v>0</v>
      </c>
      <c r="K2" t="s">
        <v>8</v>
      </c>
      <c r="L2">
        <v>0</v>
      </c>
    </row>
    <row r="3" spans="1:12" ht="15" x14ac:dyDescent="0.25">
      <c r="A3">
        <v>2</v>
      </c>
      <c r="B3">
        <v>3</v>
      </c>
      <c r="C3">
        <v>500</v>
      </c>
      <c r="D3" s="1">
        <v>1</v>
      </c>
      <c r="E3">
        <v>250</v>
      </c>
      <c r="G3" s="3">
        <f t="shared" si="0"/>
        <v>6.25</v>
      </c>
      <c r="I3">
        <v>2</v>
      </c>
      <c r="J3">
        <f t="shared" ref="J3:J7" si="1">SUMIF($A$2:$A$61,I3,$D$2:$D$61)-SUMIF($B$2:$B$61,I3,$D$2:$D$61)</f>
        <v>1</v>
      </c>
      <c r="K3" t="s">
        <v>8</v>
      </c>
      <c r="L3">
        <v>1</v>
      </c>
    </row>
    <row r="4" spans="1:12" ht="15" x14ac:dyDescent="0.25">
      <c r="A4">
        <v>3</v>
      </c>
      <c r="B4">
        <v>4</v>
      </c>
      <c r="C4">
        <v>900</v>
      </c>
      <c r="D4" s="1">
        <v>1</v>
      </c>
      <c r="E4">
        <v>450</v>
      </c>
      <c r="G4" s="3">
        <f t="shared" si="0"/>
        <v>11.25</v>
      </c>
      <c r="I4">
        <v>3</v>
      </c>
      <c r="J4">
        <f t="shared" si="1"/>
        <v>0</v>
      </c>
      <c r="K4" t="s">
        <v>8</v>
      </c>
      <c r="L4">
        <v>0</v>
      </c>
    </row>
    <row r="5" spans="1:12" ht="15" x14ac:dyDescent="0.25">
      <c r="A5">
        <v>4</v>
      </c>
      <c r="B5">
        <v>5</v>
      </c>
      <c r="C5">
        <v>500</v>
      </c>
      <c r="D5" s="1">
        <v>1</v>
      </c>
      <c r="E5">
        <v>250</v>
      </c>
      <c r="G5" s="3">
        <f t="shared" si="0"/>
        <v>6.25</v>
      </c>
      <c r="I5">
        <v>4</v>
      </c>
      <c r="J5">
        <f t="shared" si="1"/>
        <v>0</v>
      </c>
      <c r="K5" t="s">
        <v>8</v>
      </c>
      <c r="L5">
        <v>0</v>
      </c>
    </row>
    <row r="6" spans="1:12" ht="15" x14ac:dyDescent="0.25">
      <c r="A6">
        <v>5</v>
      </c>
      <c r="B6">
        <v>6</v>
      </c>
      <c r="C6">
        <v>650</v>
      </c>
      <c r="D6" s="1">
        <v>0</v>
      </c>
      <c r="E6">
        <v>650</v>
      </c>
      <c r="G6" s="3">
        <f t="shared" si="0"/>
        <v>8.125</v>
      </c>
      <c r="I6">
        <v>5</v>
      </c>
      <c r="J6">
        <f t="shared" si="1"/>
        <v>-1</v>
      </c>
      <c r="K6" t="s">
        <v>8</v>
      </c>
      <c r="L6">
        <v>-1</v>
      </c>
    </row>
    <row r="7" spans="1:12" ht="15" x14ac:dyDescent="0.25">
      <c r="A7">
        <v>6</v>
      </c>
      <c r="B7">
        <v>1</v>
      </c>
      <c r="C7">
        <v>750</v>
      </c>
      <c r="D7" s="1">
        <v>0</v>
      </c>
      <c r="E7">
        <v>750</v>
      </c>
      <c r="G7" s="3">
        <f t="shared" si="0"/>
        <v>9.375</v>
      </c>
      <c r="I7">
        <v>6</v>
      </c>
      <c r="J7">
        <f t="shared" si="1"/>
        <v>0</v>
      </c>
      <c r="K7" t="s">
        <v>8</v>
      </c>
      <c r="L7">
        <v>0</v>
      </c>
    </row>
    <row r="8" spans="1:12" ht="15" x14ac:dyDescent="0.25">
      <c r="A8">
        <v>1</v>
      </c>
      <c r="B8">
        <v>6</v>
      </c>
      <c r="C8">
        <v>1500</v>
      </c>
      <c r="D8" s="1">
        <v>0</v>
      </c>
      <c r="E8">
        <v>750</v>
      </c>
      <c r="G8" s="3">
        <f t="shared" si="0"/>
        <v>18.75</v>
      </c>
      <c r="L8" t="e">
        <v>#N/A</v>
      </c>
    </row>
    <row r="9" spans="1:12" ht="15" x14ac:dyDescent="0.25">
      <c r="A9">
        <v>2</v>
      </c>
      <c r="B9">
        <v>1</v>
      </c>
      <c r="C9">
        <v>300</v>
      </c>
      <c r="D9" s="1">
        <v>0</v>
      </c>
      <c r="E9">
        <v>150</v>
      </c>
      <c r="G9" s="3">
        <f t="shared" si="0"/>
        <v>3.75</v>
      </c>
      <c r="L9" t="e">
        <v>#N/A</v>
      </c>
    </row>
    <row r="10" spans="1:12" ht="15" x14ac:dyDescent="0.25">
      <c r="A10">
        <v>3</v>
      </c>
      <c r="B10">
        <v>2</v>
      </c>
      <c r="C10">
        <v>250</v>
      </c>
      <c r="D10" s="1">
        <v>0</v>
      </c>
      <c r="E10">
        <v>250</v>
      </c>
      <c r="G10" s="3">
        <f t="shared" si="0"/>
        <v>3.125</v>
      </c>
      <c r="L10" t="e">
        <v>#N/A</v>
      </c>
    </row>
    <row r="11" spans="1:12" ht="15" x14ac:dyDescent="0.25">
      <c r="A11">
        <v>4</v>
      </c>
      <c r="B11">
        <v>3</v>
      </c>
      <c r="C11">
        <v>450</v>
      </c>
      <c r="D11" s="1">
        <v>0</v>
      </c>
      <c r="E11">
        <v>450</v>
      </c>
      <c r="G11" s="3">
        <f t="shared" si="0"/>
        <v>5.625</v>
      </c>
      <c r="L11" t="e">
        <v>#N/A</v>
      </c>
    </row>
    <row r="12" spans="1:12" ht="15" x14ac:dyDescent="0.25">
      <c r="A12">
        <v>5</v>
      </c>
      <c r="B12">
        <v>4</v>
      </c>
      <c r="C12">
        <v>250</v>
      </c>
      <c r="D12" s="1">
        <v>0</v>
      </c>
      <c r="E12">
        <v>250</v>
      </c>
      <c r="G12" s="3">
        <f t="shared" si="0"/>
        <v>3.125</v>
      </c>
      <c r="L12" t="e">
        <v>#N/A</v>
      </c>
    </row>
    <row r="13" spans="1:12" ht="15" x14ac:dyDescent="0.25">
      <c r="A13">
        <v>6</v>
      </c>
      <c r="B13">
        <v>5</v>
      </c>
      <c r="C13">
        <v>1300</v>
      </c>
      <c r="D13" s="1">
        <v>0</v>
      </c>
      <c r="E13">
        <v>650</v>
      </c>
      <c r="G13" s="3">
        <f t="shared" si="0"/>
        <v>16.25</v>
      </c>
      <c r="L13" t="e">
        <v>#N/A</v>
      </c>
    </row>
    <row r="14" spans="1:12" ht="15" x14ac:dyDescent="0.25">
      <c r="D14" s="1">
        <v>0</v>
      </c>
      <c r="G14" s="3"/>
      <c r="L14" t="e">
        <v>#N/A</v>
      </c>
    </row>
    <row r="15" spans="1:12" ht="15" x14ac:dyDescent="0.25">
      <c r="D15" s="1">
        <v>0</v>
      </c>
      <c r="G15" s="3"/>
      <c r="L15" t="e">
        <v>#N/A</v>
      </c>
    </row>
    <row r="16" spans="1:12" ht="15" x14ac:dyDescent="0.25">
      <c r="D16" s="1">
        <v>0</v>
      </c>
      <c r="G16" s="3"/>
      <c r="L16" t="e">
        <v>#N/A</v>
      </c>
    </row>
    <row r="17" spans="4:12" ht="15" x14ac:dyDescent="0.25">
      <c r="D17" s="1">
        <v>0</v>
      </c>
      <c r="G17" s="3"/>
      <c r="L17" t="e">
        <v>#N/A</v>
      </c>
    </row>
    <row r="18" spans="4:12" ht="15" x14ac:dyDescent="0.25">
      <c r="D18" s="1">
        <v>0</v>
      </c>
      <c r="G18" s="3"/>
      <c r="L18" t="e">
        <v>#N/A</v>
      </c>
    </row>
    <row r="19" spans="4:12" ht="15" x14ac:dyDescent="0.25">
      <c r="D19" s="1">
        <v>0</v>
      </c>
      <c r="G19" s="3"/>
      <c r="L19" t="e">
        <v>#N/A</v>
      </c>
    </row>
    <row r="20" spans="4:12" ht="15" x14ac:dyDescent="0.25">
      <c r="D20" s="1">
        <v>0</v>
      </c>
      <c r="G20" s="3"/>
      <c r="L20" t="e">
        <v>#N/A</v>
      </c>
    </row>
    <row r="21" spans="4:12" ht="15" x14ac:dyDescent="0.25">
      <c r="D21" s="1">
        <v>0</v>
      </c>
      <c r="G21" s="3"/>
      <c r="L21" t="e">
        <v>#N/A</v>
      </c>
    </row>
    <row r="22" spans="4:12" ht="15" x14ac:dyDescent="0.25">
      <c r="D22" s="1">
        <v>0</v>
      </c>
      <c r="G22" s="3"/>
      <c r="L22" t="e">
        <v>#N/A</v>
      </c>
    </row>
    <row r="23" spans="4:12" ht="15" x14ac:dyDescent="0.25">
      <c r="D23" s="1">
        <v>0</v>
      </c>
      <c r="G23" s="3"/>
      <c r="L23" t="e">
        <v>#N/A</v>
      </c>
    </row>
    <row r="24" spans="4:12" ht="15" x14ac:dyDescent="0.25">
      <c r="D24" s="1">
        <v>0</v>
      </c>
      <c r="G24" s="3"/>
      <c r="L24" t="e">
        <v>#N/A</v>
      </c>
    </row>
    <row r="25" spans="4:12" ht="15" x14ac:dyDescent="0.25">
      <c r="D25" s="1">
        <v>0</v>
      </c>
      <c r="G25" s="3"/>
      <c r="L25" t="e">
        <v>#N/A</v>
      </c>
    </row>
    <row r="26" spans="4:12" ht="15" x14ac:dyDescent="0.25">
      <c r="D26" s="1">
        <v>0</v>
      </c>
      <c r="G26" s="3"/>
      <c r="L26" t="e">
        <v>#N/A</v>
      </c>
    </row>
    <row r="27" spans="4:12" ht="15" x14ac:dyDescent="0.25">
      <c r="D27" s="1">
        <v>0</v>
      </c>
      <c r="G27" s="3"/>
      <c r="L27" t="e">
        <v>#N/A</v>
      </c>
    </row>
    <row r="28" spans="4:12" ht="15" x14ac:dyDescent="0.25">
      <c r="D28" s="1">
        <v>0</v>
      </c>
      <c r="G28" s="3"/>
      <c r="L28" t="e">
        <v>#N/A</v>
      </c>
    </row>
    <row r="29" spans="4:12" ht="15" x14ac:dyDescent="0.25">
      <c r="D29" s="1">
        <v>0</v>
      </c>
      <c r="G29" s="3"/>
      <c r="L29" t="e">
        <v>#N/A</v>
      </c>
    </row>
    <row r="30" spans="4:12" ht="15" x14ac:dyDescent="0.25">
      <c r="D30" s="1">
        <v>0</v>
      </c>
      <c r="G30" s="3"/>
      <c r="L30" t="e">
        <v>#N/A</v>
      </c>
    </row>
    <row r="31" spans="4:12" ht="15" x14ac:dyDescent="0.25">
      <c r="D31" s="1">
        <v>0</v>
      </c>
      <c r="G31" s="3"/>
      <c r="L31" t="e">
        <v>#N/A</v>
      </c>
    </row>
    <row r="32" spans="4:12" x14ac:dyDescent="0.3">
      <c r="D32" s="1">
        <v>0</v>
      </c>
      <c r="G32" s="3"/>
      <c r="L32" t="e">
        <v>#N/A</v>
      </c>
    </row>
    <row r="33" spans="4:12" x14ac:dyDescent="0.3">
      <c r="D33" s="1">
        <v>0</v>
      </c>
      <c r="G33" s="3"/>
      <c r="L33" t="e">
        <v>#N/A</v>
      </c>
    </row>
    <row r="34" spans="4:12" x14ac:dyDescent="0.3">
      <c r="D34" s="1">
        <v>0</v>
      </c>
      <c r="G34" s="3"/>
      <c r="L34" t="e">
        <v>#N/A</v>
      </c>
    </row>
    <row r="35" spans="4:12" x14ac:dyDescent="0.3">
      <c r="D35" s="1">
        <v>0</v>
      </c>
      <c r="G35" s="3"/>
      <c r="L35" t="e">
        <v>#N/A</v>
      </c>
    </row>
    <row r="36" spans="4:12" x14ac:dyDescent="0.3">
      <c r="D36" s="1">
        <v>0</v>
      </c>
      <c r="G36" s="3"/>
      <c r="L36" t="e">
        <v>#N/A</v>
      </c>
    </row>
    <row r="37" spans="4:12" x14ac:dyDescent="0.3">
      <c r="D37" s="1">
        <v>0</v>
      </c>
      <c r="G37" s="3"/>
      <c r="L37" t="e">
        <v>#N/A</v>
      </c>
    </row>
    <row r="38" spans="4:12" x14ac:dyDescent="0.3">
      <c r="D38" s="1">
        <v>0</v>
      </c>
      <c r="G38" s="3"/>
    </row>
    <row r="39" spans="4:12" x14ac:dyDescent="0.3">
      <c r="D39" s="1">
        <v>0</v>
      </c>
      <c r="G39" s="3"/>
    </row>
    <row r="40" spans="4:12" x14ac:dyDescent="0.3">
      <c r="D40" s="1">
        <v>0</v>
      </c>
      <c r="G40" s="3"/>
    </row>
    <row r="41" spans="4:12" x14ac:dyDescent="0.3">
      <c r="D41" s="1">
        <v>0</v>
      </c>
      <c r="G41" s="3"/>
    </row>
    <row r="42" spans="4:12" x14ac:dyDescent="0.3">
      <c r="D42" s="1">
        <v>0</v>
      </c>
      <c r="G42" s="3"/>
    </row>
    <row r="43" spans="4:12" x14ac:dyDescent="0.3">
      <c r="D43" s="1">
        <v>0</v>
      </c>
      <c r="G43" s="3"/>
    </row>
    <row r="44" spans="4:12" x14ac:dyDescent="0.3">
      <c r="D44" s="1">
        <v>0</v>
      </c>
      <c r="G44" s="3"/>
    </row>
    <row r="45" spans="4:12" x14ac:dyDescent="0.3">
      <c r="D45" s="1">
        <v>0</v>
      </c>
      <c r="G45" s="3"/>
    </row>
    <row r="46" spans="4:12" x14ac:dyDescent="0.3">
      <c r="D46" s="1">
        <v>0</v>
      </c>
      <c r="G46" s="3"/>
    </row>
    <row r="47" spans="4:12" x14ac:dyDescent="0.3">
      <c r="D47" s="1">
        <v>0</v>
      </c>
      <c r="G47" s="3"/>
    </row>
    <row r="48" spans="4:12" x14ac:dyDescent="0.3">
      <c r="D48" s="1">
        <v>0</v>
      </c>
      <c r="G48" s="3"/>
    </row>
    <row r="49" spans="4:7" x14ac:dyDescent="0.3">
      <c r="D49" s="1">
        <v>0</v>
      </c>
      <c r="G49" s="3"/>
    </row>
    <row r="50" spans="4:7" x14ac:dyDescent="0.3">
      <c r="D50" s="1">
        <v>0</v>
      </c>
      <c r="G50" s="3"/>
    </row>
    <row r="51" spans="4:7" x14ac:dyDescent="0.3">
      <c r="D51" s="1">
        <v>0</v>
      </c>
      <c r="G51" s="3"/>
    </row>
    <row r="52" spans="4:7" x14ac:dyDescent="0.3">
      <c r="D52" s="1">
        <v>0</v>
      </c>
      <c r="G52" s="3"/>
    </row>
    <row r="53" spans="4:7" x14ac:dyDescent="0.3">
      <c r="D53" s="1">
        <v>0</v>
      </c>
      <c r="G53" s="3"/>
    </row>
    <row r="54" spans="4:7" x14ac:dyDescent="0.3">
      <c r="D54" s="1">
        <v>0</v>
      </c>
      <c r="G54" s="3"/>
    </row>
    <row r="55" spans="4:7" x14ac:dyDescent="0.3">
      <c r="D55" s="1">
        <v>0</v>
      </c>
      <c r="G55" s="3"/>
    </row>
    <row r="56" spans="4:7" x14ac:dyDescent="0.3">
      <c r="D56" s="1">
        <v>0</v>
      </c>
      <c r="G56" s="3"/>
    </row>
    <row r="57" spans="4:7" x14ac:dyDescent="0.3">
      <c r="D57" s="1">
        <v>0</v>
      </c>
      <c r="G57" s="3"/>
    </row>
    <row r="58" spans="4:7" x14ac:dyDescent="0.3">
      <c r="D58" s="1">
        <v>0</v>
      </c>
      <c r="G58" s="3"/>
    </row>
    <row r="59" spans="4:7" x14ac:dyDescent="0.3">
      <c r="D59" s="1">
        <v>0</v>
      </c>
      <c r="G59" s="3"/>
    </row>
    <row r="60" spans="4:7" x14ac:dyDescent="0.3">
      <c r="D60" s="1">
        <v>0</v>
      </c>
      <c r="G60" s="3"/>
    </row>
    <row r="61" spans="4:7" x14ac:dyDescent="0.3">
      <c r="D61" s="1">
        <v>0</v>
      </c>
      <c r="G61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Airport data</vt:lpstr>
    </vt:vector>
  </TitlesOfParts>
  <Company>TU Delft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Roling - LR</dc:creator>
  <cp:lastModifiedBy>Master</cp:lastModifiedBy>
  <dcterms:created xsi:type="dcterms:W3CDTF">2016-10-04T11:14:26Z</dcterms:created>
  <dcterms:modified xsi:type="dcterms:W3CDTF">2017-12-20T14:47:51Z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ad653cf1-3848-4774-bd1a-c94123d3dac1</vt:lpwstr>
  </property>
</Properties>
</file>